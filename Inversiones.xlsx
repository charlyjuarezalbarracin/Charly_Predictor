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xr:revisionPtr revIDLastSave="0" documentId="8_{CD5CBEE3-9ED5-471A-B617-79CF0077F94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E22" i="1"/>
  <c r="E9" i="1"/>
  <c r="B10" i="1"/>
  <c r="B9" i="1"/>
  <c r="D9" i="1"/>
  <c r="D8" i="1"/>
  <c r="E8" i="1"/>
  <c r="B3" i="1"/>
  <c r="B8" i="1" s="1"/>
  <c r="D10" i="1" l="1"/>
  <c r="E10" i="1" s="1"/>
  <c r="B11" i="1" s="1"/>
  <c r="D11" i="1" l="1"/>
  <c r="E11" i="1" s="1"/>
  <c r="B12" i="1" s="1"/>
  <c r="D12" i="1" l="1"/>
  <c r="E12" i="1" s="1"/>
  <c r="B13" i="1" s="1"/>
  <c r="D13" i="1" l="1"/>
  <c r="E13" i="1" s="1"/>
  <c r="B14" i="1" s="1"/>
  <c r="D14" i="1" l="1"/>
  <c r="E14" i="1" s="1"/>
  <c r="B15" i="1" s="1"/>
  <c r="D15" i="1" l="1"/>
  <c r="E15" i="1" s="1"/>
  <c r="B16" i="1" s="1"/>
  <c r="D16" i="1" l="1"/>
  <c r="E16" i="1" s="1"/>
  <c r="B17" i="1" s="1"/>
  <c r="D17" i="1" l="1"/>
  <c r="E17" i="1" s="1"/>
  <c r="B18" i="1" s="1"/>
  <c r="D18" i="1" l="1"/>
  <c r="E18" i="1" s="1"/>
  <c r="B19" i="1" s="1"/>
  <c r="D19" i="1" l="1"/>
  <c r="E19" i="1" s="1"/>
  <c r="B20" i="1" s="1"/>
  <c r="D20" i="1" l="1"/>
  <c r="E20" i="1" s="1"/>
  <c r="B21" i="1" s="1"/>
  <c r="D21" i="1" l="1"/>
  <c r="E21" i="1" s="1"/>
  <c r="D22" i="1" l="1"/>
  <c r="B22" i="1"/>
</calcChain>
</file>

<file path=xl/sharedStrings.xml><?xml version="1.0" encoding="utf-8"?>
<sst xmlns="http://schemas.openxmlformats.org/spreadsheetml/2006/main" count="23" uniqueCount="21">
  <si>
    <t>PREMIO</t>
  </si>
  <si>
    <t>BASE</t>
  </si>
  <si>
    <t>MES</t>
  </si>
  <si>
    <t>ACUMULADO</t>
  </si>
  <si>
    <t>TNA</t>
  </si>
  <si>
    <t>RENTABILIDAD</t>
  </si>
  <si>
    <t>NETO</t>
  </si>
  <si>
    <t>GASTOS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</si>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</sst>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4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2"/>
  <sheetViews>
    <sheetView tabSelected="1" topLeftCell="A5" workbookViewId="0">
      <selection activeCell="F23" sqref="F23"/>
    </sheetView>
  </sheetViews>
  <sheetFormatPr defaultRowHeight="15"/>
  <cols>
    <col min="1" max="1" width="11.7109375" bestFit="1" customWidth="1"/>
    <col min="2" max="2" width="24.7109375" customWidth="1"/>
    <col min="3" max="3" width="15.140625" customWidth="1"/>
    <col min="4" max="4" width="17.7109375" customWidth="1"/>
    <col min="5" max="5" width="19.42578125" customWidth="1"/>
    <col min="6" max="6" width="22.28515625" customWidth="1"/>
  </cols>
  <sheetData>
    <row r="2" spans="1:6">
      <c r="A2" t="s">
        <v>0</v>
      </c>
      <c r="B2" s="1">
        <v>7310000000</v>
      </c>
    </row>
    <row r="3" spans="1:6">
      <c r="A3" t="s">
        <v>1</v>
      </c>
      <c r="B3" s="2">
        <f>B2-((B2*0.9) * 0.31)</f>
        <v>5270510000</v>
      </c>
    </row>
    <row r="4" spans="1:6">
      <c r="B4" s="1"/>
    </row>
    <row r="5" spans="1:6">
      <c r="B5" s="1"/>
    </row>
    <row r="6" spans="1:6">
      <c r="B6" s="1"/>
    </row>
    <row r="7" spans="1:6">
      <c r="A7" s="3" t="s">
        <v>2</v>
      </c>
      <c r="B7" s="4" t="s">
        <v>3</v>
      </c>
      <c r="C7" s="3" t="s">
        <v>4</v>
      </c>
      <c r="D7" s="4" t="s">
        <v>5</v>
      </c>
      <c r="E7" s="4" t="s">
        <v>6</v>
      </c>
      <c r="F7" s="4" t="s">
        <v>7</v>
      </c>
    </row>
    <row r="8" spans="1:6">
      <c r="A8" t="s">
        <v>8</v>
      </c>
      <c r="B8" s="1">
        <f>B3</f>
        <v>5270510000</v>
      </c>
      <c r="C8">
        <v>0.27</v>
      </c>
      <c r="D8" s="1">
        <f>((B8*C8)/12)</f>
        <v>118586475</v>
      </c>
      <c r="E8" s="1">
        <f>D8-F8</f>
        <v>108586475</v>
      </c>
      <c r="F8" s="1">
        <v>10000000</v>
      </c>
    </row>
    <row r="9" spans="1:6">
      <c r="A9" t="s">
        <v>9</v>
      </c>
      <c r="B9" s="1">
        <f>B8+E8</f>
        <v>5379096475</v>
      </c>
      <c r="C9">
        <v>0.27</v>
      </c>
      <c r="D9" s="1">
        <f t="shared" ref="D9:D21" si="0">((B9*C9)/12)</f>
        <v>121029670.6875</v>
      </c>
      <c r="E9" s="1">
        <f t="shared" ref="E9:E21" si="1">D9-F9</f>
        <v>111029670.6875</v>
      </c>
      <c r="F9" s="1">
        <v>10000000</v>
      </c>
    </row>
    <row r="10" spans="1:6">
      <c r="A10" t="s">
        <v>10</v>
      </c>
      <c r="B10" s="1">
        <f t="shared" ref="B10:B21" si="2">B9+E9</f>
        <v>5490126145.6875</v>
      </c>
      <c r="C10">
        <v>0.27</v>
      </c>
      <c r="D10" s="1">
        <f t="shared" si="0"/>
        <v>123527838.27796876</v>
      </c>
      <c r="E10" s="1">
        <f t="shared" si="1"/>
        <v>123527838.27796876</v>
      </c>
    </row>
    <row r="11" spans="1:6">
      <c r="A11" t="s">
        <v>11</v>
      </c>
      <c r="B11" s="1">
        <f t="shared" si="2"/>
        <v>5613653983.9654684</v>
      </c>
      <c r="C11">
        <v>0.27</v>
      </c>
      <c r="D11" s="1">
        <f t="shared" si="0"/>
        <v>126307214.63922304</v>
      </c>
      <c r="E11" s="1">
        <f t="shared" si="1"/>
        <v>126307214.63922304</v>
      </c>
    </row>
    <row r="12" spans="1:6">
      <c r="A12" t="s">
        <v>12</v>
      </c>
      <c r="B12" s="1">
        <f t="shared" si="2"/>
        <v>5739961198.6046915</v>
      </c>
      <c r="C12">
        <v>0.27</v>
      </c>
      <c r="D12" s="1">
        <f t="shared" si="0"/>
        <v>129149126.96860556</v>
      </c>
      <c r="E12" s="1">
        <f t="shared" si="1"/>
        <v>129149126.96860556</v>
      </c>
    </row>
    <row r="13" spans="1:6">
      <c r="A13" t="s">
        <v>13</v>
      </c>
      <c r="B13" s="1">
        <f t="shared" si="2"/>
        <v>5869110325.5732975</v>
      </c>
      <c r="C13">
        <v>0.27</v>
      </c>
      <c r="D13" s="1">
        <f t="shared" si="0"/>
        <v>132054982.32539921</v>
      </c>
      <c r="E13" s="1">
        <f t="shared" si="1"/>
        <v>132054982.32539921</v>
      </c>
    </row>
    <row r="14" spans="1:6">
      <c r="A14" t="s">
        <v>14</v>
      </c>
      <c r="B14" s="1">
        <f t="shared" si="2"/>
        <v>6001165307.8986969</v>
      </c>
      <c r="C14">
        <v>0.27</v>
      </c>
      <c r="D14" s="1">
        <f t="shared" si="0"/>
        <v>135026219.4277207</v>
      </c>
      <c r="E14" s="1">
        <f t="shared" si="1"/>
        <v>135026219.4277207</v>
      </c>
    </row>
    <row r="15" spans="1:6">
      <c r="A15" t="s">
        <v>15</v>
      </c>
      <c r="B15" s="1">
        <f t="shared" si="2"/>
        <v>6136191527.3264179</v>
      </c>
      <c r="C15">
        <v>0.27</v>
      </c>
      <c r="D15" s="1">
        <f t="shared" si="0"/>
        <v>138064309.36484441</v>
      </c>
      <c r="E15" s="1">
        <f t="shared" si="1"/>
        <v>138064309.36484441</v>
      </c>
    </row>
    <row r="16" spans="1:6">
      <c r="A16" t="s">
        <v>16</v>
      </c>
      <c r="B16" s="1">
        <f t="shared" si="2"/>
        <v>6274255836.6912622</v>
      </c>
      <c r="C16">
        <v>0.27</v>
      </c>
      <c r="D16" s="1">
        <f t="shared" si="0"/>
        <v>141170756.32555342</v>
      </c>
      <c r="E16" s="1">
        <f t="shared" si="1"/>
        <v>141170756.32555342</v>
      </c>
    </row>
    <row r="17" spans="1:6">
      <c r="A17" t="s">
        <v>17</v>
      </c>
      <c r="B17" s="1">
        <f t="shared" si="2"/>
        <v>6415426593.0168152</v>
      </c>
      <c r="C17">
        <v>0.27</v>
      </c>
      <c r="D17" s="1">
        <f t="shared" si="0"/>
        <v>144347098.34287834</v>
      </c>
      <c r="E17" s="1">
        <f t="shared" si="1"/>
        <v>144347098.34287834</v>
      </c>
    </row>
    <row r="18" spans="1:6">
      <c r="A18" t="s">
        <v>18</v>
      </c>
      <c r="B18" s="1">
        <f t="shared" si="2"/>
        <v>6559773691.3596935</v>
      </c>
      <c r="C18">
        <v>0.27</v>
      </c>
      <c r="D18" s="1">
        <f t="shared" si="0"/>
        <v>147594908.0555931</v>
      </c>
      <c r="E18" s="1">
        <f t="shared" si="1"/>
        <v>147594908.0555931</v>
      </c>
    </row>
    <row r="19" spans="1:6">
      <c r="A19" t="s">
        <v>19</v>
      </c>
      <c r="B19" s="1">
        <f t="shared" si="2"/>
        <v>6707368599.415287</v>
      </c>
      <c r="C19">
        <v>0.27</v>
      </c>
      <c r="D19" s="1">
        <f t="shared" si="0"/>
        <v>150915793.48684397</v>
      </c>
      <c r="E19" s="1">
        <f t="shared" si="1"/>
        <v>150915793.48684397</v>
      </c>
    </row>
    <row r="20" spans="1:6">
      <c r="A20" t="s">
        <v>8</v>
      </c>
      <c r="B20" s="1">
        <f t="shared" si="2"/>
        <v>6858284392.9021311</v>
      </c>
      <c r="C20">
        <v>0.27</v>
      </c>
      <c r="D20" s="1">
        <f t="shared" si="0"/>
        <v>154311398.84029797</v>
      </c>
      <c r="E20" s="1">
        <f t="shared" si="1"/>
        <v>154311398.84029797</v>
      </c>
    </row>
    <row r="21" spans="1:6">
      <c r="A21" t="s">
        <v>9</v>
      </c>
      <c r="B21" s="1">
        <f t="shared" si="2"/>
        <v>7012595791.7424288</v>
      </c>
      <c r="C21">
        <v>0.27</v>
      </c>
      <c r="D21" s="1">
        <f t="shared" si="0"/>
        <v>157783405.31420466</v>
      </c>
      <c r="E21" s="1">
        <f t="shared" si="1"/>
        <v>157783405.31420466</v>
      </c>
    </row>
    <row r="22" spans="1:6">
      <c r="A22" t="s">
        <v>20</v>
      </c>
      <c r="B22" s="1">
        <f t="shared" ref="B10:B22" si="3">B21+D21</f>
        <v>7170379197.056633</v>
      </c>
      <c r="D22" s="1">
        <f>SUM(D8:D21)</f>
        <v>1919869197.0566332</v>
      </c>
      <c r="E22" s="1">
        <f>SUM(E8:E21)</f>
        <v>1899869197.0566332</v>
      </c>
      <c r="F22" s="1">
        <f>D22-E22</f>
        <v>20000000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2025-11-20T20:17:02Z</dcterms:created>
  <dcterms:modified xsi:type="dcterms:W3CDTF">2026-03-19T21:04:22Z</dcterms:modified>
  <cp:category/>
  <cp:contentStatus/>
</cp:coreProperties>
</file>